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집행내역" sheetId="1" state="visible" r:id="rId1"/>
    <sheet xmlns:r="http://schemas.openxmlformats.org/officeDocument/2006/relationships" name="월별집행계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pivotButton="0" quotePrefix="0" xfId="0"/>
    <xf numFmtId="4" fontId="2" fillId="4" borderId="1" pivotButton="0" quotePrefix="0" xfId="0"/>
    <xf numFmtId="164" fontId="2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" fontId="0" fillId="0" borderId="3" pivotButton="0" quotePrefix="0" xfId="0"/>
    <xf numFmtId="164" fontId="0" fillId="0" borderId="3" pivotButton="0" quotePrefix="0" xfId="0"/>
    <xf numFmtId="0" fontId="0" fillId="4" borderId="1" pivotButton="0" quotePrefix="0" xfId="0"/>
    <xf numFmtId="4" fontId="0" fillId="0" borderId="4" pivotButton="0" quotePrefix="0" xfId="0"/>
    <xf numFmtId="164" fontId="0" fillId="0" borderId="4" pivotButton="0" quotePrefix="0" xfId="0"/>
    <xf numFmtId="0" fontId="2" fillId="3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164" fontId="2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55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60" customWidth="1" min="9" max="9"/>
  </cols>
  <sheetData>
    <row r="1">
      <c r="A1" s="1" t="inlineStr">
        <is>
          <t>세종대학교(위탁) 2026년 9~12월 집행내역 계획</t>
        </is>
      </c>
    </row>
    <row r="2">
      <c r="A2" t="inlineStr">
        <is>
          <t>과제번호 RS-2026-25543619 / 단위: 백만원 / 8월말 누적 집행 37.40 (24.9%) / 잔액 112.60 / '확정'은 결의 완료 또는 정액 지급분, '계획'은 품목·금액 조정 가능</t>
        </is>
      </c>
    </row>
    <row r="4">
      <c r="A4" s="2" t="inlineStr">
        <is>
          <t>월</t>
        </is>
      </c>
      <c r="B4" s="2" t="inlineStr">
        <is>
          <t>비목</t>
        </is>
      </c>
      <c r="C4" s="2" t="inlineStr">
        <is>
          <t>집행내역</t>
        </is>
      </c>
      <c r="D4" s="2" t="inlineStr">
        <is>
          <t>금액</t>
        </is>
      </c>
      <c r="E4" s="2" t="inlineStr">
        <is>
          <t>확정여부</t>
        </is>
      </c>
      <c r="F4" s="2" t="inlineStr">
        <is>
          <t>당월 합계</t>
        </is>
      </c>
      <c r="G4" s="2" t="inlineStr">
        <is>
          <t>누적</t>
        </is>
      </c>
      <c r="H4" s="2" t="inlineStr">
        <is>
          <t>집행률</t>
        </is>
      </c>
      <c r="I4" s="2" t="inlineStr">
        <is>
          <t>비고</t>
        </is>
      </c>
    </row>
    <row r="5" ht="34" customHeight="1">
      <c r="A5" s="3" t="inlineStr">
        <is>
          <t>8월말</t>
        </is>
      </c>
      <c r="B5" s="3" t="n"/>
      <c r="C5" s="3" t="inlineStr">
        <is>
          <t>RCMS 실집행 누적 (인건비·학생인건비·간접비·부가세·출장비)</t>
        </is>
      </c>
      <c r="D5" s="4" t="n"/>
      <c r="E5" s="3" t="inlineStr">
        <is>
          <t>확정</t>
        </is>
      </c>
      <c r="F5" s="4" t="n">
        <v>37.402094</v>
      </c>
      <c r="G5" s="4" t="n">
        <v>37.402094</v>
      </c>
      <c r="H5" s="5" t="n">
        <v>0.2493472933333333</v>
      </c>
      <c r="I5" s="3" t="inlineStr">
        <is>
          <t>지출일자 기준, RCMS 지출결의 내역 2026.09.02. 다운로드</t>
        </is>
      </c>
    </row>
    <row r="6" ht="34" customHeight="1">
      <c r="A6" s="6" t="inlineStr">
        <is>
          <t>9월</t>
        </is>
      </c>
      <c r="B6" s="6" t="inlineStr">
        <is>
          <t>연구시설·장비비</t>
        </is>
      </c>
      <c r="C6" s="7" t="inlineStr">
        <is>
          <t>분석용 클러스터 도입</t>
        </is>
      </c>
      <c r="D6" s="8" t="n">
        <v>20</v>
      </c>
      <c r="E6" s="6" t="inlineStr">
        <is>
          <t>계획</t>
        </is>
      </c>
      <c r="F6" s="9">
        <f>SUM(D6:D10)</f>
        <v/>
      </c>
      <c r="G6" s="9" t="n">
        <v>104.9</v>
      </c>
      <c r="H6" s="10">
        <f>G6/150.0</f>
        <v/>
      </c>
      <c r="I6" s="7" t="inlineStr">
        <is>
          <t>취득가격 3천만원 미만 → 사전승인 대상 아님. 9월 내 발주·검수 완료 필요</t>
        </is>
      </c>
    </row>
    <row r="7" ht="34" customHeight="1">
      <c r="A7" s="6" t="inlineStr">
        <is>
          <t>9월</t>
        </is>
      </c>
      <c r="B7" s="6" t="inlineStr">
        <is>
          <t>연구시설·장비비</t>
        </is>
      </c>
      <c r="C7" s="7" t="inlineStr">
        <is>
          <t>디스크어레이 도입 발주·검수</t>
        </is>
      </c>
      <c r="D7" s="8" t="n">
        <v>20</v>
      </c>
      <c r="E7" s="6" t="inlineStr">
        <is>
          <t>계획</t>
        </is>
      </c>
      <c r="F7" s="11" t="n"/>
      <c r="G7" s="11" t="n"/>
      <c r="H7" s="12" t="n"/>
      <c r="I7" s="7" t="inlineStr">
        <is>
          <t>클러스터와 별개 자산·별개 용도로 발주 (분할발주로 보이지 않도록)</t>
        </is>
      </c>
    </row>
    <row r="8" ht="34" customHeight="1">
      <c r="A8" s="6" t="inlineStr">
        <is>
          <t>9월</t>
        </is>
      </c>
      <c r="B8" s="6" t="inlineStr">
        <is>
          <t>연구활동비</t>
        </is>
      </c>
      <c r="C8" s="7" t="inlineStr">
        <is>
          <t>분석·시각화 SW 라이선스, 서버 유지보수·전산 사용료, 유료 재분석/관측 자료 구입</t>
        </is>
      </c>
      <c r="D8" s="8" t="n">
        <v>13.0484</v>
      </c>
      <c r="E8" s="6" t="inlineStr">
        <is>
          <t>계획</t>
        </is>
      </c>
      <c r="F8" s="11" t="n"/>
      <c r="G8" s="11" t="n"/>
      <c r="H8" s="12" t="n"/>
      <c r="I8" s="7" t="inlineStr">
        <is>
          <t>세부 품목 배분은 교수님 확인 필요. 후보: SW 라이선스 / 클라우드·전산 사용료 / 유료 DB·자료 구독</t>
        </is>
      </c>
    </row>
    <row r="9" ht="34" customHeight="1">
      <c r="A9" s="6" t="inlineStr">
        <is>
          <t>9월</t>
        </is>
      </c>
      <c r="B9" s="6" t="inlineStr">
        <is>
          <t>간접비</t>
        </is>
      </c>
      <c r="C9" s="7" t="inlineStr">
        <is>
          <t>잔여 간접비 징수</t>
        </is>
      </c>
      <c r="D9" s="8" t="n">
        <v>13.9698</v>
      </c>
      <c r="E9" s="13" t="inlineStr">
        <is>
          <t>확정</t>
        </is>
      </c>
      <c r="F9" s="11" t="n"/>
      <c r="G9" s="11" t="n"/>
      <c r="H9" s="12" t="n"/>
      <c r="I9" s="7" t="inlineStr">
        <is>
          <t>9월 10일 지출 예정, 결의 완료. 징수 후 간접비 집행률 100%</t>
        </is>
      </c>
    </row>
    <row r="10" ht="34" customHeight="1">
      <c r="A10" s="6" t="inlineStr">
        <is>
          <t>9월</t>
        </is>
      </c>
      <c r="B10" s="6" t="inlineStr">
        <is>
          <t>인건비</t>
        </is>
      </c>
      <c r="C10" s="7" t="inlineStr">
        <is>
          <t>참여연구원 급여·퇴직급여충당금·기관부담금</t>
        </is>
      </c>
      <c r="D10" s="8" t="n">
        <v>0.4797</v>
      </c>
      <c r="E10" s="13" t="inlineStr">
        <is>
          <t>확정</t>
        </is>
      </c>
      <c r="F10" s="14" t="n"/>
      <c r="G10" s="14" t="n"/>
      <c r="H10" s="15" t="n"/>
      <c r="I10" s="7" t="inlineStr">
        <is>
          <t>현 지급수준 월 0.48백만원</t>
        </is>
      </c>
    </row>
    <row r="11" ht="34" customHeight="1">
      <c r="A11" s="6" t="inlineStr">
        <is>
          <t>10월</t>
        </is>
      </c>
      <c r="B11" s="6" t="inlineStr">
        <is>
          <t>연구시설·장비비</t>
        </is>
      </c>
      <c r="C11" s="7" t="inlineStr">
        <is>
          <t>진단·시각화용 워크스테이션 도입</t>
        </is>
      </c>
      <c r="D11" s="8" t="n">
        <v>10</v>
      </c>
      <c r="E11" s="6" t="inlineStr">
        <is>
          <t>계획</t>
        </is>
      </c>
      <c r="F11" s="9">
        <f>SUM(D11:D14)</f>
        <v/>
      </c>
      <c r="G11" s="9" t="n">
        <v>138.8</v>
      </c>
      <c r="H11" s="10">
        <f>G11/150.0</f>
        <v/>
      </c>
      <c r="I11" s="7" t="inlineStr">
        <is>
          <t>취득가격 3천만원 미만</t>
        </is>
      </c>
    </row>
    <row r="12" ht="34" customHeight="1">
      <c r="A12" s="6" t="inlineStr">
        <is>
          <t>10월</t>
        </is>
      </c>
      <c r="B12" s="6" t="inlineStr">
        <is>
          <t>연구활동비</t>
        </is>
      </c>
      <c r="C12" s="7" t="inlineStr">
        <is>
          <t>외부 전문가 자문, 주관기관 협의 국내출장, 학술DB·전문서적 구입</t>
        </is>
      </c>
      <c r="D12" s="8" t="n">
        <v>20.2303</v>
      </c>
      <c r="E12" s="6" t="inlineStr">
        <is>
          <t>계획</t>
        </is>
      </c>
      <c r="F12" s="11" t="n"/>
      <c r="G12" s="11" t="n"/>
      <c r="H12" s="12" t="n"/>
      <c r="I12" s="7" t="inlineStr">
        <is>
          <t>금액이 커서 항목 보강 필요. 후보: 클라우드 컴퓨팅·스토리지 이용료, 유료 자료 다년 구독, 학회 참가비</t>
        </is>
      </c>
    </row>
    <row r="13" ht="34" customHeight="1">
      <c r="A13" s="6" t="inlineStr">
        <is>
          <t>10월</t>
        </is>
      </c>
      <c r="B13" s="6" t="inlineStr">
        <is>
          <t>연구수당</t>
        </is>
      </c>
      <c r="C13" s="7" t="inlineStr">
        <is>
          <t>연구수당 중간 지급</t>
        </is>
      </c>
      <c r="D13" s="8" t="n">
        <v>3.19</v>
      </c>
      <c r="E13" s="6" t="inlineStr">
        <is>
          <t>계획</t>
        </is>
      </c>
      <c r="F13" s="11" t="n"/>
      <c r="G13" s="11" t="n"/>
      <c r="H13" s="12" t="n"/>
      <c r="I13" s="7" t="inlineStr">
        <is>
          <t>협약 6.379의 1/2</t>
        </is>
      </c>
    </row>
    <row r="14" ht="34" customHeight="1">
      <c r="A14" s="6" t="inlineStr">
        <is>
          <t>10월</t>
        </is>
      </c>
      <c r="B14" s="6" t="inlineStr">
        <is>
          <t>인건비</t>
        </is>
      </c>
      <c r="C14" s="7" t="inlineStr">
        <is>
          <t>참여연구원 급여·퇴직급여충당금·기관부담금</t>
        </is>
      </c>
      <c r="D14" s="8" t="n">
        <v>0.4797</v>
      </c>
      <c r="E14" s="13" t="inlineStr">
        <is>
          <t>확정</t>
        </is>
      </c>
      <c r="F14" s="14" t="n"/>
      <c r="G14" s="14" t="n"/>
      <c r="H14" s="15" t="n"/>
      <c r="I14" s="7" t="inlineStr"/>
    </row>
    <row r="15" ht="34" customHeight="1">
      <c r="A15" s="6" t="inlineStr">
        <is>
          <t>11월</t>
        </is>
      </c>
      <c r="B15" s="6" t="inlineStr">
        <is>
          <t>연구활동비</t>
        </is>
      </c>
      <c r="C15" s="7" t="inlineStr">
        <is>
          <t>논문 게재료·영문교정</t>
        </is>
      </c>
      <c r="D15" s="8" t="n">
        <v>4.0203</v>
      </c>
      <c r="E15" s="6" t="inlineStr">
        <is>
          <t>계획</t>
        </is>
      </c>
      <c r="F15" s="9">
        <f>SUM(D15:D16)</f>
        <v/>
      </c>
      <c r="G15" s="9" t="n">
        <v>143.3</v>
      </c>
      <c r="H15" s="10">
        <f>G15/150.0</f>
        <v/>
      </c>
      <c r="I15" s="7" t="inlineStr">
        <is>
          <t>가을학회 발표 결과의 논문화 일정에 연동</t>
        </is>
      </c>
    </row>
    <row r="16" ht="34" customHeight="1">
      <c r="A16" s="6" t="inlineStr">
        <is>
          <t>11월</t>
        </is>
      </c>
      <c r="B16" s="6" t="inlineStr">
        <is>
          <t>인건비</t>
        </is>
      </c>
      <c r="C16" s="7" t="inlineStr">
        <is>
          <t>참여연구원 급여·퇴직급여충당금·기관부담금</t>
        </is>
      </c>
      <c r="D16" s="8" t="n">
        <v>0.4797</v>
      </c>
      <c r="E16" s="13" t="inlineStr">
        <is>
          <t>확정</t>
        </is>
      </c>
      <c r="F16" s="14" t="n"/>
      <c r="G16" s="14" t="n"/>
      <c r="H16" s="15" t="n"/>
      <c r="I16" s="7" t="inlineStr"/>
    </row>
    <row r="17" ht="34" customHeight="1">
      <c r="A17" s="6" t="inlineStr">
        <is>
          <t>12월</t>
        </is>
      </c>
      <c r="B17" s="6" t="inlineStr">
        <is>
          <t>연구활동비</t>
        </is>
      </c>
      <c r="C17" s="7" t="inlineStr">
        <is>
          <t>결과보고 회의비, 문헌구입비 등</t>
        </is>
      </c>
      <c r="D17" s="8" t="n">
        <v>3.0313</v>
      </c>
      <c r="E17" s="6" t="inlineStr">
        <is>
          <t>계획</t>
        </is>
      </c>
      <c r="F17" s="9">
        <f>SUM(D17:D19)</f>
        <v/>
      </c>
      <c r="G17" s="9" t="n">
        <v>150</v>
      </c>
      <c r="H17" s="10">
        <f>G17/150.0</f>
        <v/>
      </c>
      <c r="I17" s="7" t="inlineStr">
        <is>
          <t>잔액 정산용. 12월 누적 100% 도달</t>
        </is>
      </c>
    </row>
    <row r="18" ht="34" customHeight="1">
      <c r="A18" s="6" t="inlineStr">
        <is>
          <t>12월</t>
        </is>
      </c>
      <c r="B18" s="6" t="inlineStr">
        <is>
          <t>연구수당</t>
        </is>
      </c>
      <c r="C18" s="7" t="inlineStr">
        <is>
          <t>연구수당 최종 지급</t>
        </is>
      </c>
      <c r="D18" s="8" t="n">
        <v>3.189</v>
      </c>
      <c r="E18" s="6" t="inlineStr">
        <is>
          <t>계획</t>
        </is>
      </c>
      <c r="F18" s="11" t="n"/>
      <c r="G18" s="11" t="n"/>
      <c r="H18" s="12" t="n"/>
      <c r="I18" s="7" t="inlineStr">
        <is>
          <t>협약 6.379의 잔여분</t>
        </is>
      </c>
    </row>
    <row r="19" ht="34" customHeight="1">
      <c r="A19" s="6" t="inlineStr">
        <is>
          <t>12월</t>
        </is>
      </c>
      <c r="B19" s="6" t="inlineStr">
        <is>
          <t>인건비</t>
        </is>
      </c>
      <c r="C19" s="7" t="inlineStr">
        <is>
          <t>참여연구원 급여·퇴직급여충당금·기관부담금</t>
        </is>
      </c>
      <c r="D19" s="8" t="n">
        <v>0.4797</v>
      </c>
      <c r="E19" s="13" t="inlineStr">
        <is>
          <t>확정</t>
        </is>
      </c>
      <c r="F19" s="14" t="n"/>
      <c r="G19" s="14" t="n"/>
      <c r="H19" s="15" t="n"/>
      <c r="I19" s="7" t="inlineStr"/>
    </row>
    <row r="20">
      <c r="A20" s="16" t="inlineStr">
        <is>
          <t>합계</t>
        </is>
      </c>
      <c r="B20" s="17" t="n"/>
      <c r="C20" s="16" t="inlineStr">
        <is>
          <t>9~12월 계획 합계 (= 잔액)</t>
        </is>
      </c>
      <c r="D20" s="18">
        <f>SUM(D6:D19)</f>
        <v/>
      </c>
      <c r="E20" s="17" t="n"/>
      <c r="F20" s="19" t="n"/>
      <c r="G20" s="18" t="n">
        <v>150</v>
      </c>
      <c r="H20" s="20" t="n">
        <v>1</v>
      </c>
      <c r="I20" s="17" t="n"/>
    </row>
    <row r="22" ht="30" customHeight="1">
      <c r="A22" s="21" t="inlineStr">
        <is>
          <t>※ 월별 누적액은 2026.09.04. 제출한 [붙임3] 한글 파일의 값과 일치. 연구활동비 월별 배분은 그 누적액에 맞춰 역산한 것.</t>
        </is>
      </c>
    </row>
    <row r="23" ht="30" customHeight="1">
      <c r="A23" s="21" t="inlineStr">
        <is>
          <t>※ '확정' 행은 이미 결의가 끝났거나(간접비 9/10 징수) 매월 정액으로 나가는 인건비. 품목 조정 대상이 아님.</t>
        </is>
      </c>
    </row>
    <row r="24" ht="30" customHeight="1">
      <c r="A24" s="21" t="inlineStr">
        <is>
          <t>※ '계획' 행의 품목·금액은 초안이며 실제 구매·집행 계획에 맞게 수정 필요. 금액을 바꾸면 12월 누적이 150.0이 되도록 다른 행에서 조정할 것.</t>
        </is>
      </c>
    </row>
    <row r="25" ht="30" customHeight="1">
      <c r="A25" s="21" t="inlineStr">
        <is>
          <t>※ 장비 3건은 각각 취득가격 3천만원(부가세·부대비용 포함) 미만으로 구성. 3천만원 이상이면 사용기준 제73조1항5호가목에 따라 사전승인이 필요하고 통보에 15일이 걸려 9월 집행이 불가능해짐.</t>
        </is>
      </c>
    </row>
    <row r="26" ht="30" customHeight="1">
      <c r="A26" s="21" t="inlineStr">
        <is>
          <t>※ 비목 전용 2건 포함: 연구재료비 30.0 → 연구시설·장비비, 참여연구자 인건비 잔여 13.25 → 연구활동비. 사전승인 대상은 아니나 산학협력단 확인 필요.</t>
        </is>
      </c>
    </row>
    <row r="27" ht="30" customHeight="1">
      <c r="A27" s="21" t="inlineStr">
        <is>
          <t>※ 참여연구원 등록이 이루어지면 인건비를 전용 없이 원래 비목으로 집행 가능. 이 경우 연구활동비 계획을 13.25만큼 축소하고 인건비를 늘려 재작성.</t>
        </is>
      </c>
    </row>
  </sheetData>
  <mergeCells count="18">
    <mergeCell ref="F15:F16"/>
    <mergeCell ref="F11:F14"/>
    <mergeCell ref="F17:F19"/>
    <mergeCell ref="A25:I25"/>
    <mergeCell ref="H17:H19"/>
    <mergeCell ref="A26:I26"/>
    <mergeCell ref="G17:G19"/>
    <mergeCell ref="H11:H14"/>
    <mergeCell ref="A23:I23"/>
    <mergeCell ref="A27:I27"/>
    <mergeCell ref="G15:G16"/>
    <mergeCell ref="F6:F10"/>
    <mergeCell ref="A22:I22"/>
    <mergeCell ref="H6:H10"/>
    <mergeCell ref="G6:G10"/>
    <mergeCell ref="H15:H16"/>
    <mergeCell ref="G11:G14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9" customWidth="1" min="11" max="11"/>
    <col width="95" customWidth="1" min="12" max="12"/>
  </cols>
  <sheetData>
    <row r="1">
      <c r="A1" s="1" t="inlineStr">
        <is>
          <t>세종대학교(위탁) 2026년 월별 연구개발비 집행계획</t>
        </is>
      </c>
    </row>
    <row r="2">
      <c r="A2" t="inlineStr">
        <is>
          <t>과제번호 RS-2026-25543619 / 차세대 해양·극지의 환경 및 생태계에 관한 기후예측시스템 개발 / 위탁연구책임자 정지훈 / 단위: 백만원 / 실적 기준: RCMS 지출일자, 2026.08.31.</t>
        </is>
      </c>
    </row>
    <row r="4">
      <c r="A4" s="2" t="inlineStr">
        <is>
          <t>비목</t>
        </is>
      </c>
      <c r="B4" s="2" t="inlineStr">
        <is>
          <t>협약액</t>
        </is>
      </c>
      <c r="C4" s="2" t="inlineStr">
        <is>
          <t>7월말 실적</t>
        </is>
      </c>
      <c r="D4" s="2" t="inlineStr">
        <is>
          <t>8월 실적</t>
        </is>
      </c>
      <c r="E4" s="2" t="inlineStr">
        <is>
          <t>9월 계획</t>
        </is>
      </c>
      <c r="F4" s="2" t="inlineStr">
        <is>
          <t>10월 계획</t>
        </is>
      </c>
      <c r="G4" s="2" t="inlineStr">
        <is>
          <t>11월 계획</t>
        </is>
      </c>
      <c r="H4" s="2" t="inlineStr">
        <is>
          <t>12월 계획</t>
        </is>
      </c>
      <c r="I4" s="2" t="inlineStr">
        <is>
          <t>계획 소계</t>
        </is>
      </c>
      <c r="J4" s="2" t="inlineStr">
        <is>
          <t>연말 누계</t>
        </is>
      </c>
      <c r="K4" s="2" t="inlineStr">
        <is>
          <t>잔액</t>
        </is>
      </c>
      <c r="L4" s="2" t="inlineStr">
        <is>
          <t>집행내용(구체)</t>
        </is>
      </c>
    </row>
    <row r="5" ht="60" customHeight="1">
      <c r="A5" s="6" t="inlineStr">
        <is>
          <t>참여연구자 인건비</t>
        </is>
      </c>
      <c r="B5" s="8" t="n">
        <v>16.5422</v>
      </c>
      <c r="C5" s="8" t="n">
        <v>0.8948</v>
      </c>
      <c r="D5" s="8" t="n">
        <v>0.4797</v>
      </c>
      <c r="E5" s="8" t="n">
        <v>0.4797</v>
      </c>
      <c r="F5" s="8" t="n">
        <v>0.4797</v>
      </c>
      <c r="G5" s="8" t="n">
        <v>0.4797</v>
      </c>
      <c r="H5" s="8" t="n">
        <v>0.4797</v>
      </c>
      <c r="I5" s="8">
        <f>SUM(E5:H5)</f>
        <v/>
      </c>
      <c r="J5" s="8">
        <f>C5+D5+I5</f>
        <v/>
      </c>
      <c r="K5" s="8">
        <f>B5-J5</f>
        <v/>
      </c>
      <c r="L5" s="7" t="inlineStr">
        <is>
          <t>참여연구원 인건비 월정액 지급(급여·퇴직급여충당금·기관부담금). 현 지급수준 유지 시 12월까지 13.25백만원이 미집행으로 남아 연구활동비로 재배분 → ※3</t>
        </is>
      </c>
    </row>
    <row r="6" ht="60" customHeight="1">
      <c r="A6" s="6" t="inlineStr">
        <is>
          <t>학생인건비</t>
        </is>
      </c>
      <c r="B6" s="8" t="n">
        <v>8.154</v>
      </c>
      <c r="C6" s="8" t="n">
        <v>8.154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>
        <f>SUM(E6:H6)</f>
        <v/>
      </c>
      <c r="J6" s="8">
        <f>C6+D6+I6</f>
        <v/>
      </c>
      <c r="K6" s="8">
        <f>B6-J6</f>
        <v/>
      </c>
      <c r="L6" s="7" t="inlineStr">
        <is>
          <t>통합학생인건비 6월 일괄 징수 완료(집행률 100%)</t>
        </is>
      </c>
    </row>
    <row r="7" ht="60" customHeight="1">
      <c r="A7" s="6" t="inlineStr">
        <is>
          <t>연구시설·장비비</t>
        </is>
      </c>
      <c r="B7" s="8" t="n">
        <v>20</v>
      </c>
      <c r="C7" s="8" t="n">
        <v>0</v>
      </c>
      <c r="D7" s="8" t="n">
        <v>0</v>
      </c>
      <c r="E7" s="8" t="n">
        <v>40</v>
      </c>
      <c r="F7" s="8" t="n">
        <v>10</v>
      </c>
      <c r="G7" s="8" t="n">
        <v>0</v>
      </c>
      <c r="H7" s="8" t="n">
        <v>0</v>
      </c>
      <c r="I7" s="8">
        <f>SUM(E7:H7)</f>
        <v/>
      </c>
      <c r="J7" s="8">
        <f>C7+D7+I7</f>
        <v/>
      </c>
      <c r="K7" s="8">
        <f>B7-J7</f>
        <v/>
      </c>
      <c r="L7" s="7" t="inlineStr">
        <is>
          <t>9월: 분석용 클러스터 도입(20.0), 디스크어레이 도입 발주·검수(20.0) / 10월: 진단·시각화용 워크스테이션 도입(10.0). 각 건 취득가격 3천만원 미만으로 사전승인 대상 아님(사용기준 제73조1항5호가목)</t>
        </is>
      </c>
    </row>
    <row r="8" ht="60" customHeight="1">
      <c r="A8" s="6" t="inlineStr">
        <is>
          <t>그 외 연구활동비</t>
        </is>
      </c>
      <c r="B8" s="8" t="n">
        <v>40.9852</v>
      </c>
      <c r="C8" s="8" t="n">
        <v>13.9038</v>
      </c>
      <c r="D8" s="8" t="n">
        <v>0</v>
      </c>
      <c r="E8" s="8" t="n">
        <v>13.0484</v>
      </c>
      <c r="F8" s="8" t="n">
        <v>20.2303</v>
      </c>
      <c r="G8" s="8" t="n">
        <v>4.0203</v>
      </c>
      <c r="H8" s="8" t="n">
        <v>3.0313</v>
      </c>
      <c r="I8" s="8">
        <f>SUM(E8:H8)</f>
        <v/>
      </c>
      <c r="J8" s="8">
        <f>C8+D8+I8</f>
        <v/>
      </c>
      <c r="K8" s="8">
        <f>B8-J8</f>
        <v/>
      </c>
      <c r="L8" s="7" t="inlineStr">
        <is>
          <t>7월 집행분은 부가세 대체(13.64) 및 착수보고회 출장비(0.27). 9월: 분석·시각화 SW 라이선스, 서버 유지보수·전산 사용료, 유료 재분석/관측 자료 구입 / 10월: 외부 전문가 자문(지면모델 진단), 주관기관 협의 국내출장, 학술DB·전문서적 / 11월: 논문 게재료·영문교정 / 12월: 결과보고 회의비 (※ 학회 등록·출장비는 타 과제에서 집행하여 본 계획 제외)</t>
        </is>
      </c>
    </row>
    <row r="9" ht="60" customHeight="1">
      <c r="A9" s="6" t="inlineStr">
        <is>
          <t>연구재료비</t>
        </is>
      </c>
      <c r="B9" s="8" t="n">
        <v>30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>
        <f>SUM(E9:H9)</f>
        <v/>
      </c>
      <c r="J9" s="8">
        <f>C9+D9+I9</f>
        <v/>
      </c>
      <c r="K9" s="8">
        <f>B9-J9</f>
        <v/>
      </c>
      <c r="L9" s="7" t="inlineStr">
        <is>
          <t>당초 계획액 30.0을 연구시설·장비비로 전용하여 집행(디스크어레이·워크스테이션 도입)</t>
        </is>
      </c>
    </row>
    <row r="10" ht="60" customHeight="1">
      <c r="A10" s="6" t="inlineStr">
        <is>
          <t>연구수당</t>
        </is>
      </c>
      <c r="B10" s="8" t="n">
        <v>6.379</v>
      </c>
      <c r="C10" s="8" t="n">
        <v>0</v>
      </c>
      <c r="D10" s="8" t="n">
        <v>0</v>
      </c>
      <c r="E10" s="8" t="n">
        <v>0</v>
      </c>
      <c r="F10" s="8" t="n">
        <v>3.19</v>
      </c>
      <c r="G10" s="8" t="n">
        <v>0</v>
      </c>
      <c r="H10" s="8" t="n">
        <v>3.189</v>
      </c>
      <c r="I10" s="8">
        <f>SUM(E10:H10)</f>
        <v/>
      </c>
      <c r="J10" s="8">
        <f>C10+D10+I10</f>
        <v/>
      </c>
      <c r="K10" s="8">
        <f>B10-J10</f>
        <v/>
      </c>
      <c r="L10" s="7" t="inlineStr">
        <is>
          <t>참여연구원 연구수당 (10월 중간, 12월 최종 지급)</t>
        </is>
      </c>
    </row>
    <row r="11" ht="60" customHeight="1">
      <c r="A11" s="6" t="inlineStr">
        <is>
          <t>간접비</t>
        </is>
      </c>
      <c r="B11" s="8" t="n">
        <v>27.9396</v>
      </c>
      <c r="C11" s="8" t="n">
        <v>13.9698</v>
      </c>
      <c r="D11" s="8" t="n">
        <v>0</v>
      </c>
      <c r="E11" s="8" t="n">
        <v>13.9698</v>
      </c>
      <c r="F11" s="8" t="n">
        <v>0</v>
      </c>
      <c r="G11" s="8" t="n">
        <v>0</v>
      </c>
      <c r="H11" s="8" t="n">
        <v>0</v>
      </c>
      <c r="I11" s="8">
        <f>SUM(E11:H11)</f>
        <v/>
      </c>
      <c r="J11" s="8">
        <f>C11+D11+I11</f>
        <v/>
      </c>
      <c r="K11" s="8">
        <f>B11-J11</f>
        <v/>
      </c>
      <c r="L11" s="7" t="inlineStr">
        <is>
          <t>9월 10일 잔여 간접비 징수 예정(결의 완료). 징수 후 집행률 100%</t>
        </is>
      </c>
    </row>
    <row r="12">
      <c r="A12" s="16" t="inlineStr">
        <is>
          <t>합계</t>
        </is>
      </c>
      <c r="B12" s="18">
        <f>SUM(B5:B11)</f>
        <v/>
      </c>
      <c r="C12" s="18">
        <f>SUM(C5:C11)</f>
        <v/>
      </c>
      <c r="D12" s="18">
        <f>SUM(D5:D11)</f>
        <v/>
      </c>
      <c r="E12" s="18">
        <f>SUM(E5:E11)</f>
        <v/>
      </c>
      <c r="F12" s="18">
        <f>SUM(F5:F11)</f>
        <v/>
      </c>
      <c r="G12" s="18">
        <f>SUM(G5:G11)</f>
        <v/>
      </c>
      <c r="H12" s="18">
        <f>SUM(H5:H11)</f>
        <v/>
      </c>
      <c r="I12" s="18">
        <f>SUM(I5:I11)</f>
        <v/>
      </c>
      <c r="J12" s="18">
        <f>SUM(J5:J11)</f>
        <v/>
      </c>
      <c r="K12" s="18">
        <f>SUM(K5:K11)</f>
        <v/>
      </c>
      <c r="L12" s="17" t="n"/>
    </row>
    <row r="13">
      <c r="A13" s="3" t="inlineStr">
        <is>
          <t>누적 집행액 (양식 기입값)</t>
        </is>
      </c>
      <c r="B13" s="4" t="n"/>
      <c r="C13" s="4">
        <f>C12</f>
        <v/>
      </c>
      <c r="D13" s="4">
        <f>C13+D12</f>
        <v/>
      </c>
      <c r="E13" s="4">
        <f>D13+E12</f>
        <v/>
      </c>
      <c r="F13" s="4">
        <f>E13+F12</f>
        <v/>
      </c>
      <c r="G13" s="4">
        <f>F13+G12</f>
        <v/>
      </c>
      <c r="H13" s="4">
        <f>G13+H12</f>
        <v/>
      </c>
      <c r="I13" s="4" t="n"/>
      <c r="J13" s="4" t="n"/>
      <c r="K13" s="4" t="n"/>
      <c r="L13" s="3" t="inlineStr">
        <is>
          <t>← [붙임3] 양식의 7월말~12월 칸 값 (2026.09.04. 제출본과 일치)</t>
        </is>
      </c>
    </row>
    <row r="14">
      <c r="A14" s="3" t="inlineStr">
        <is>
          <t>집행률(%)</t>
        </is>
      </c>
      <c r="B14" s="4" t="n"/>
      <c r="C14" s="5">
        <f>C13/$B$12</f>
        <v/>
      </c>
      <c r="D14" s="5">
        <f>D13/$B$12</f>
        <v/>
      </c>
      <c r="E14" s="5">
        <f>E13/$B$12</f>
        <v/>
      </c>
      <c r="F14" s="5">
        <f>F13/$B$12</f>
        <v/>
      </c>
      <c r="G14" s="5">
        <f>G13/$B$12</f>
        <v/>
      </c>
      <c r="H14" s="5">
        <f>H13/$B$12</f>
        <v/>
      </c>
      <c r="I14" s="4" t="n"/>
      <c r="J14" s="4" t="n"/>
      <c r="K14" s="4" t="n"/>
      <c r="L14" s="3" t="n"/>
    </row>
    <row r="16" ht="30" customHeight="1">
      <c r="A16" s="21" t="inlineStr">
        <is>
          <t>※0 월별 누적액은 2026.09.04. 제출한 [붙임3] 한글 파일의 값(36.9 / 37.4 / 104.9 / 138.8 / 143.3 / 150.0)과 일치. 연구활동비의 월별 배분은 그 누적액에 맞춰 역산한 것.</t>
        </is>
      </c>
    </row>
    <row r="17" ht="30" customHeight="1">
      <c r="A17" s="21" t="inlineStr">
        <is>
          <t>※1 협약액은 연구개발계획서 PART3(2026.02) 세종대 1차년도 계획액(총 150.0백만원)이며, 협약 예산표로 동일함을 확인.</t>
        </is>
      </c>
    </row>
    <row r="18" ht="30" customHeight="1">
      <c r="A18" s="21" t="inlineStr">
        <is>
          <t>※2 7·8월 실적은 RCMS 지출결의 내역(2026.09.02. 다운로드)을 지출일자 기준으로 집계. 7월 16일 부가세 대체 13.64백만원은 연구활동비 내 집행분으로 집행률에 포함(연구책임자 확인).</t>
        </is>
      </c>
    </row>
    <row r="19" ht="30" customHeight="1">
      <c r="A19" s="21" t="inlineStr">
        <is>
          <t>※3 참여연구자 인건비: 협약 16.54백만원 대비 실제 지급이 월 0.48백만원 수준이어서 12월까지 13.25백만원이 미집행으로 남음. 본 계획은 이를 연구활동비로 재배분하여 100% 집행하는 것으로 작성. 재배분 없이 진행하면 12월 집행률 91.2%.</t>
        </is>
      </c>
    </row>
    <row r="20" ht="30" customHeight="1">
      <c r="A20" s="21" t="inlineStr">
        <is>
          <t>※4 비목 전용 2건: 연구재료비 30.0 → 연구시설·장비비, 인건비 잔여 13.25 → 연구활동비. 직접비 비목 간 변경은 사용기준 제73조1항의 사전승인 대상에 열거되어 있지 않으나, 기관 자체 절차(산학협력단 승인·장비 심의) 확인 필요.</t>
        </is>
      </c>
    </row>
    <row r="21" ht="30" customHeight="1">
      <c r="A21" s="21" t="inlineStr">
        <is>
          <t>※5 장비 도입 유의: 취득가격 3천만원(부가세·설치 부대비용 포함) 이상이면 제73조1항5호가목에 따라 중앙행정기관 사전승인 필요(통보 15일 소요 → 9월 집행 불가). 본 계획은 3건 모두 3천만원 미만. 하나의 시스템을 분할 발주한 것으로 보이지 않도록 자산·용도를 구분할 것. 3천만원 미만이라도 공동활용 가능 장비는 ZEUS 확인 필요(제23조4항).</t>
        </is>
      </c>
    </row>
    <row r="22" ht="30" customHeight="1">
      <c r="A22" s="21" t="inlineStr">
        <is>
          <t>※6 학생인건비·간접비는 통합 징수 방식이라 9월 중 집행률 100% 도달.</t>
        </is>
      </c>
    </row>
    <row r="23" ht="30" customHeight="1">
      <c r="A23" s="21" t="inlineStr">
        <is>
          <t>※7 학회 등록·출장비는 타 과제(RS-2022-KE002160)에서 집행하였으므로 본 계획 미포함. 발표 성과는 사사에 본 과제번호를 포함하여 성과로 인정.</t>
        </is>
      </c>
    </row>
  </sheetData>
  <mergeCells count="8">
    <mergeCell ref="A20:L20"/>
    <mergeCell ref="A16:L16"/>
    <mergeCell ref="A19:L19"/>
    <mergeCell ref="A23:L23"/>
    <mergeCell ref="A22:L22"/>
    <mergeCell ref="A17:L17"/>
    <mergeCell ref="A18:L18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2026-09-07T11:38:47Z</dcterms:created>
  <dcterms:modified xmlns:dcterms="http://purl.org/dc/terms/" xmlns:xsi="http://www.w3.org/2001/XMLSchema-instance" xsi:type="dcterms:W3CDTF">2026-09-07T11:38:47Z</dcterms:modified>
</cp:coreProperties>
</file>